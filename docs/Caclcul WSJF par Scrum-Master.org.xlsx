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CLWF3078\Downloads\"/>
    </mc:Choice>
  </mc:AlternateContent>
  <xr:revisionPtr revIDLastSave="0" documentId="13_ncr:1_{E27B1F21-E037-4DBB-B61B-66865D77D9C4}" xr6:coauthVersionLast="47" xr6:coauthVersionMax="47" xr10:uidLastSave="{00000000-0000-0000-0000-000000000000}"/>
  <bookViews>
    <workbookView xWindow="11535" yWindow="-16320" windowWidth="29040" windowHeight="15840" xr2:uid="{00000000-000D-0000-FFFF-FFFF00000000}"/>
  </bookViews>
  <sheets>
    <sheet name="1. Calcul WSJF (Exemple)" sheetId="1" r:id="rId1"/>
    <sheet name="2. Explication sur les colonnes" sheetId="2" r:id="rId2"/>
    <sheet name="3. Calcul WSJF (Feuille vide)" sheetId="4" r:id="rId3"/>
  </sheets>
  <definedNames>
    <definedName name="_xlnm._FilterDatabase" localSheetId="0" hidden="1">'1. Calcul WSJF (Exemple)'!$A$2:$G$2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F8" i="4"/>
  <c r="F9" i="4"/>
  <c r="G9" i="4" s="1"/>
  <c r="F10" i="4"/>
  <c r="G10" i="4" s="1"/>
  <c r="F11" i="4"/>
  <c r="G11" i="4" s="1"/>
  <c r="F12" i="4"/>
  <c r="F13" i="4"/>
  <c r="F14" i="4"/>
  <c r="G4" i="4"/>
  <c r="G5" i="4"/>
  <c r="G6" i="4"/>
  <c r="G7" i="4"/>
  <c r="G8" i="4"/>
  <c r="G12" i="4"/>
  <c r="G13" i="4"/>
  <c r="G14" i="4"/>
  <c r="F3" i="4"/>
  <c r="G3" i="4" s="1"/>
  <c r="G4" i="1"/>
  <c r="G5" i="1"/>
  <c r="G6" i="1"/>
  <c r="G7" i="1"/>
  <c r="G8" i="1"/>
  <c r="G9" i="1"/>
  <c r="G10" i="1"/>
  <c r="G11" i="1"/>
  <c r="G12" i="1"/>
  <c r="G13" i="1"/>
  <c r="G14" i="1"/>
  <c r="G3" i="1"/>
  <c r="F4" i="1"/>
  <c r="F5" i="1"/>
  <c r="F6" i="1"/>
  <c r="F7" i="1"/>
  <c r="F8" i="1"/>
  <c r="F9" i="1"/>
  <c r="F10" i="1"/>
  <c r="F11" i="1"/>
  <c r="F12" i="1"/>
  <c r="F13" i="1"/>
  <c r="F14" i="1"/>
  <c r="F3" i="1"/>
</calcChain>
</file>

<file path=xl/sharedStrings.xml><?xml version="1.0" encoding="utf-8"?>
<sst xmlns="http://schemas.openxmlformats.org/spreadsheetml/2006/main" count="81" uniqueCount="62">
  <si>
    <r>
      <rPr>
        <b/>
        <sz val="10"/>
        <rFont val="Arial"/>
      </rPr>
      <t xml:space="preserve">Retrouvez toute l'explication sur le calcul du WSJF sur : </t>
    </r>
    <r>
      <rPr>
        <b/>
        <u/>
        <sz val="10"/>
        <color rgb="FF1155CC"/>
        <rFont val="Arial"/>
      </rPr>
      <t>https://scrum-master.org/definition-du-wsjf-weighted-shortest-job-first/</t>
    </r>
  </si>
  <si>
    <t>Nom de la feature</t>
  </si>
  <si>
    <t>Job Duration</t>
  </si>
  <si>
    <t>Business Value</t>
  </si>
  <si>
    <r>
      <rPr>
        <b/>
        <sz val="12"/>
        <color theme="1"/>
        <rFont val="Arial"/>
      </rPr>
      <t xml:space="preserve">+ </t>
    </r>
    <r>
      <rPr>
        <b/>
        <sz val="10"/>
        <color theme="1"/>
        <rFont val="Arial"/>
      </rPr>
      <t>Time Criticality</t>
    </r>
  </si>
  <si>
    <r>
      <rPr>
        <b/>
        <sz val="12"/>
        <color theme="1"/>
        <rFont val="Arial"/>
      </rPr>
      <t>+</t>
    </r>
    <r>
      <rPr>
        <b/>
        <sz val="10"/>
        <color theme="1"/>
        <rFont val="Arial"/>
      </rPr>
      <t xml:space="preserve"> Risk Reduction / Opportunity Enablement</t>
    </r>
  </si>
  <si>
    <r>
      <rPr>
        <b/>
        <sz val="12"/>
        <color theme="1"/>
        <rFont val="Arial"/>
      </rPr>
      <t>=</t>
    </r>
    <r>
      <rPr>
        <b/>
        <sz val="10"/>
        <color theme="1"/>
        <rFont val="Arial"/>
      </rPr>
      <t xml:space="preserve"> Cost of Delay (CoD)</t>
    </r>
  </si>
  <si>
    <t>WSJF = CoD / Job Duration</t>
  </si>
  <si>
    <t>Feature 18</t>
  </si>
  <si>
    <t>Feature 1</t>
  </si>
  <si>
    <t>Feature 6</t>
  </si>
  <si>
    <t>Feature 15</t>
  </si>
  <si>
    <t>Feature 3</t>
  </si>
  <si>
    <t>Feature 11</t>
  </si>
  <si>
    <t>Feature 9</t>
  </si>
  <si>
    <t>Feature 19</t>
  </si>
  <si>
    <t>Feature 8</t>
  </si>
  <si>
    <t>Feature 7</t>
  </si>
  <si>
    <t>Feature 5</t>
  </si>
  <si>
    <t>Feature 2</t>
  </si>
  <si>
    <r>
      <rPr>
        <b/>
        <sz val="10"/>
        <rFont val="Arial"/>
      </rPr>
      <t xml:space="preserve">Retrouvez toute l'explication sur le calcul du WSJF sur : </t>
    </r>
    <r>
      <rPr>
        <b/>
        <u/>
        <sz val="10"/>
        <color rgb="FF1155CC"/>
        <rFont val="Arial"/>
      </rPr>
      <t>https://scrum-master.org/definition-du-wsjf-weighted-shortest-job-first/</t>
    </r>
  </si>
  <si>
    <r>
      <rPr>
        <b/>
        <sz val="12"/>
        <color theme="1"/>
        <rFont val="Arial"/>
      </rPr>
      <t>Job Size</t>
    </r>
    <r>
      <rPr>
        <b/>
        <sz val="10"/>
        <color theme="1"/>
        <rFont val="Arial"/>
      </rPr>
      <t xml:space="preserve"> (Effort de réalisation en T-Shirt Size/Story point ou par durée)</t>
    </r>
  </si>
  <si>
    <t>Job Size</t>
  </si>
  <si>
    <t>Effort/charge</t>
  </si>
  <si>
    <t>Durée de réalisation</t>
  </si>
  <si>
    <t>Importance</t>
  </si>
  <si>
    <t>Gain clients</t>
  </si>
  <si>
    <t>1; 2; 3</t>
  </si>
  <si>
    <t>Small</t>
  </si>
  <si>
    <t>jusqu'à 1 semaine</t>
  </si>
  <si>
    <t>Très faible</t>
  </si>
  <si>
    <t>Aucun</t>
  </si>
  <si>
    <t>Medium</t>
  </si>
  <si>
    <t>jusqu'à 1 sprint</t>
  </si>
  <si>
    <t>Faible</t>
  </si>
  <si>
    <t>Large</t>
  </si>
  <si>
    <t>jusqu'à 2 sprints</t>
  </si>
  <si>
    <t>Moyenne</t>
  </si>
  <si>
    <t>Moyen</t>
  </si>
  <si>
    <t>XL</t>
  </si>
  <si>
    <t>jusqu'à la durée d'un PI</t>
  </si>
  <si>
    <t>Forte</t>
  </si>
  <si>
    <t>Fort</t>
  </si>
  <si>
    <t>XXL</t>
  </si>
  <si>
    <t>supérieur à un PI = Epic à découper</t>
  </si>
  <si>
    <t>Très forte</t>
  </si>
  <si>
    <t>Très fort</t>
  </si>
  <si>
    <t>Time Criticality (Criticité temporelle</t>
  </si>
  <si>
    <t>Risk Reduction Opportunity (Réduction de risque)</t>
  </si>
  <si>
    <t>Time Criticality</t>
  </si>
  <si>
    <t>Criticité temporelle</t>
  </si>
  <si>
    <t>Questions à se poser</t>
  </si>
  <si>
    <t>Risk Reduction Opportunity</t>
  </si>
  <si>
    <t>Risques à ne pas faire cette évolution</t>
  </si>
  <si>
    <t>Aucune</t>
  </si>
  <si>
    <t>* Perdons-nous des clients ?
* Est-on sur le chemin critique du projet ou programme ? 
* Y'a t-il un jalon impacté ?
* Perdons nous de la valeur au fil du temps ?</t>
  </si>
  <si>
    <t>* Quels sont les impacts à ne pas faire cette évolution ?
* Cela réduit-il des risques sur le projet ou programme ?
* Cela ouvre t-il des opportunités Clients ? (éligibilité...)</t>
  </si>
  <si>
    <t>Elevée</t>
  </si>
  <si>
    <t>Elevé</t>
  </si>
  <si>
    <t>Très élevée</t>
  </si>
  <si>
    <t>Très élevé</t>
  </si>
  <si>
    <r>
      <rPr>
        <b/>
        <sz val="12"/>
        <color theme="1"/>
        <rFont val="Arial"/>
        <family val="2"/>
        <scheme val="minor"/>
      </rPr>
      <t>Business Value</t>
    </r>
    <r>
      <rPr>
        <b/>
        <sz val="10"/>
        <color theme="1"/>
        <rFont val="Arial"/>
        <scheme val="minor"/>
      </rPr>
      <t xml:space="preserve"> (Valeur Métier)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</si>
</sst>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u/>
      <sz val="10"/>
      <color rgb="FF0000FF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u/>
      <sz val="10"/>
      <color theme="1"/>
      <name val="Arial"/>
      <scheme val="minor"/>
    </font>
    <font>
      <b/>
      <sz val="10"/>
      <name val="Arial"/>
    </font>
    <font>
      <b/>
      <u/>
      <sz val="10"/>
      <color rgb="FF1155CC"/>
      <name val="Arial"/>
    </font>
    <font>
      <b/>
      <sz val="12"/>
      <color theme="1"/>
      <name val="Arial"/>
    </font>
    <font>
      <b/>
      <sz val="10"/>
      <color theme="1"/>
      <name val="Arial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3" fillId="4" borderId="1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0" xfId="0" applyFont="1" applyAlignment="1"/>
    <xf numFmtId="0" fontId="2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7" fillId="0" borderId="6" xfId="0" applyFont="1" applyBorder="1"/>
    <xf numFmtId="0" fontId="7" fillId="0" borderId="7" xfId="0" applyFont="1" applyBorder="1"/>
    <xf numFmtId="0" fontId="12" fillId="0" borderId="0" xfId="0" applyFont="1" applyAlignment="1"/>
    <xf numFmtId="0" fontId="14" fillId="0" borderId="0" xfId="0" applyFont="1" applyAlignment="1"/>
    <xf numFmtId="0" fontId="3" fillId="0" borderId="0" xfId="0" applyFont="1" applyFill="1" applyAlignment="1">
      <alignment wrapText="1"/>
    </xf>
    <xf numFmtId="0" fontId="0" fillId="0" borderId="0" xfId="0" applyFont="1" applyFill="1" applyAlignment="1"/>
    <xf numFmtId="0" fontId="3" fillId="3" borderId="9" xfId="0" applyFont="1" applyFill="1" applyBorder="1" applyAlignment="1">
      <alignment wrapText="1"/>
    </xf>
    <xf numFmtId="2" fontId="3" fillId="6" borderId="10" xfId="0" applyNumberFormat="1" applyFont="1" applyFill="1" applyBorder="1"/>
    <xf numFmtId="0" fontId="3" fillId="3" borderId="11" xfId="0" applyFont="1" applyFill="1" applyBorder="1" applyAlignment="1">
      <alignment wrapText="1"/>
    </xf>
    <xf numFmtId="0" fontId="3" fillId="4" borderId="12" xfId="0" applyFont="1" applyFill="1" applyBorder="1" applyAlignment="1">
      <alignment wrapText="1"/>
    </xf>
    <xf numFmtId="0" fontId="3" fillId="5" borderId="13" xfId="0" applyFont="1" applyFill="1" applyBorder="1" applyAlignment="1">
      <alignment wrapText="1"/>
    </xf>
    <xf numFmtId="0" fontId="3" fillId="5" borderId="14" xfId="0" applyFont="1" applyFill="1" applyBorder="1" applyAlignment="1">
      <alignment wrapText="1"/>
    </xf>
    <xf numFmtId="0" fontId="3" fillId="5" borderId="15" xfId="0" applyFont="1" applyFill="1" applyBorder="1" applyAlignment="1">
      <alignment wrapText="1"/>
    </xf>
    <xf numFmtId="2" fontId="3" fillId="6" borderId="16" xfId="0" applyNumberFormat="1" applyFont="1" applyFill="1" applyBorder="1"/>
    <xf numFmtId="0" fontId="3" fillId="3" borderId="17" xfId="0" applyFont="1" applyFill="1" applyBorder="1" applyAlignment="1">
      <alignment wrapText="1"/>
    </xf>
    <xf numFmtId="0" fontId="3" fillId="4" borderId="18" xfId="0" applyFont="1" applyFill="1" applyBorder="1" applyAlignment="1">
      <alignment wrapText="1"/>
    </xf>
    <xf numFmtId="0" fontId="3" fillId="5" borderId="19" xfId="0" applyFont="1" applyFill="1" applyBorder="1" applyAlignment="1">
      <alignment wrapText="1"/>
    </xf>
    <xf numFmtId="0" fontId="3" fillId="5" borderId="20" xfId="0" applyFont="1" applyFill="1" applyBorder="1" applyAlignment="1">
      <alignment wrapText="1"/>
    </xf>
    <xf numFmtId="0" fontId="3" fillId="5" borderId="21" xfId="0" applyFont="1" applyFill="1" applyBorder="1" applyAlignment="1">
      <alignment wrapText="1"/>
    </xf>
    <xf numFmtId="2" fontId="3" fillId="6" borderId="22" xfId="0" applyNumberFormat="1" applyFont="1" applyFill="1" applyBorder="1"/>
    <xf numFmtId="0" fontId="2" fillId="3" borderId="23" xfId="0" applyFont="1" applyFill="1" applyBorder="1" applyAlignment="1">
      <alignment wrapText="1"/>
    </xf>
    <xf numFmtId="0" fontId="2" fillId="4" borderId="24" xfId="0" applyFont="1" applyFill="1" applyBorder="1" applyAlignment="1">
      <alignment wrapText="1"/>
    </xf>
    <xf numFmtId="0" fontId="2" fillId="5" borderId="25" xfId="0" applyFont="1" applyFill="1" applyBorder="1" applyAlignment="1">
      <alignment wrapText="1"/>
    </xf>
    <xf numFmtId="0" fontId="2" fillId="5" borderId="26" xfId="0" quotePrefix="1" applyFont="1" applyFill="1" applyBorder="1" applyAlignment="1">
      <alignment wrapText="1"/>
    </xf>
    <xf numFmtId="0" fontId="2" fillId="5" borderId="27" xfId="0" quotePrefix="1" applyFont="1" applyFill="1" applyBorder="1" applyAlignment="1">
      <alignment wrapText="1"/>
    </xf>
    <xf numFmtId="0" fontId="2" fillId="6" borderId="28" xfId="0" applyFont="1" applyFill="1" applyBorder="1" applyAlignment="1"/>
    <xf numFmtId="0" fontId="3" fillId="0" borderId="21" xfId="0" applyFont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0" fontId="3" fillId="4" borderId="35" xfId="0" applyFont="1" applyFill="1" applyBorder="1" applyAlignment="1">
      <alignment horizontal="right" vertical="center"/>
    </xf>
    <xf numFmtId="0" fontId="3" fillId="4" borderId="36" xfId="0" applyFont="1" applyFill="1" applyBorder="1" applyAlignment="1">
      <alignment vertical="center"/>
    </xf>
    <xf numFmtId="0" fontId="3" fillId="4" borderId="37" xfId="0" applyFont="1" applyFill="1" applyBorder="1" applyAlignment="1">
      <alignment vertical="center"/>
    </xf>
    <xf numFmtId="0" fontId="2" fillId="4" borderId="31" xfId="0" applyFont="1" applyFill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3" xfId="0" applyFont="1" applyBorder="1" applyAlignment="1"/>
    <xf numFmtId="0" fontId="3" fillId="0" borderId="34" xfId="0" applyFont="1" applyBorder="1" applyAlignment="1"/>
    <xf numFmtId="0" fontId="3" fillId="0" borderId="32" xfId="0" applyFont="1" applyBorder="1" applyAlignment="1"/>
    <xf numFmtId="0" fontId="3" fillId="0" borderId="6" xfId="0" applyFont="1" applyBorder="1" applyAlignment="1">
      <alignment vertical="center" wrapText="1"/>
    </xf>
    <xf numFmtId="0" fontId="3" fillId="0" borderId="32" xfId="0" applyFont="1" applyBorder="1" applyAlignment="1">
      <alignment vertical="center"/>
    </xf>
    <xf numFmtId="0" fontId="3" fillId="4" borderId="38" xfId="0" applyFont="1" applyFill="1" applyBorder="1" applyAlignment="1">
      <alignment horizontal="right" vertical="center"/>
    </xf>
    <xf numFmtId="0" fontId="4" fillId="4" borderId="29" xfId="0" applyFont="1" applyFill="1" applyBorder="1" applyAlignment="1">
      <alignment vertical="center" wrapText="1"/>
    </xf>
    <xf numFmtId="0" fontId="2" fillId="4" borderId="26" xfId="0" applyFont="1" applyFill="1" applyBorder="1" applyAlignment="1">
      <alignment vertical="center" wrapText="1"/>
    </xf>
    <xf numFmtId="0" fontId="2" fillId="4" borderId="30" xfId="0" applyFont="1" applyFill="1" applyBorder="1" applyAlignment="1">
      <alignment vertical="center"/>
    </xf>
    <xf numFmtId="0" fontId="3" fillId="4" borderId="36" xfId="0" applyFont="1" applyFill="1" applyBorder="1" applyAlignment="1"/>
    <xf numFmtId="0" fontId="3" fillId="4" borderId="37" xfId="0" applyFont="1" applyFill="1" applyBorder="1" applyAlignment="1"/>
    <xf numFmtId="0" fontId="4" fillId="4" borderId="29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rum-master.org/definition-du-wsjf-weighted-shortest-job-firs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crum-master.org/definition-du-wsjf-weighted-shortest-job-first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crum-master.org/definition-du-wsjf-weighted-shortest-job-fir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"/>
  <sheetViews>
    <sheetView tabSelected="1" zoomScale="115" zoomScaleNormal="115" workbookViewId="0">
      <selection sqref="A1:G1"/>
    </sheetView>
  </sheetViews>
  <sheetFormatPr baseColWidth="10" defaultColWidth="21.6328125" defaultRowHeight="15.75" customHeight="1" x14ac:dyDescent="0.25"/>
  <cols>
    <col min="5" max="6" width="23.08984375" customWidth="1"/>
    <col min="7" max="7" width="29" customWidth="1"/>
  </cols>
  <sheetData>
    <row r="1" spans="1:7" ht="29.5" customHeight="1" thickBot="1" x14ac:dyDescent="0.3">
      <c r="A1" s="20" t="s">
        <v>0</v>
      </c>
      <c r="B1" s="21"/>
      <c r="C1" s="21"/>
      <c r="D1" s="21"/>
      <c r="E1" s="21"/>
      <c r="F1" s="21"/>
      <c r="G1" s="21"/>
    </row>
    <row r="2" spans="1:7" ht="29.5" thickBot="1" x14ac:dyDescent="0.4">
      <c r="A2" s="42" t="s">
        <v>1</v>
      </c>
      <c r="B2" s="43" t="s">
        <v>2</v>
      </c>
      <c r="C2" s="44" t="s">
        <v>3</v>
      </c>
      <c r="D2" s="45" t="s">
        <v>4</v>
      </c>
      <c r="E2" s="45" t="s">
        <v>5</v>
      </c>
      <c r="F2" s="46" t="s">
        <v>6</v>
      </c>
      <c r="G2" s="47" t="s">
        <v>7</v>
      </c>
    </row>
    <row r="3" spans="1:7" ht="12.5" x14ac:dyDescent="0.25">
      <c r="A3" s="36" t="s">
        <v>8</v>
      </c>
      <c r="B3" s="37">
        <v>3</v>
      </c>
      <c r="C3" s="38">
        <v>8</v>
      </c>
      <c r="D3" s="39">
        <v>1</v>
      </c>
      <c r="E3" s="39">
        <v>13</v>
      </c>
      <c r="F3" s="40">
        <f>SUM(C3:E3)</f>
        <v>22</v>
      </c>
      <c r="G3" s="41">
        <f>F3/B3</f>
        <v>7.333333333333333</v>
      </c>
    </row>
    <row r="4" spans="1:7" ht="12.5" x14ac:dyDescent="0.25">
      <c r="A4" s="28" t="s">
        <v>9</v>
      </c>
      <c r="B4" s="1">
        <v>3</v>
      </c>
      <c r="C4" s="2">
        <v>3</v>
      </c>
      <c r="D4" s="3">
        <v>5</v>
      </c>
      <c r="E4" s="3">
        <v>8</v>
      </c>
      <c r="F4" s="4">
        <f t="shared" ref="F4:F14" si="0">SUM(C4:E4)</f>
        <v>16</v>
      </c>
      <c r="G4" s="29">
        <f t="shared" ref="G4:G14" si="1">F4/B4</f>
        <v>5.333333333333333</v>
      </c>
    </row>
    <row r="5" spans="1:7" ht="12.5" x14ac:dyDescent="0.25">
      <c r="A5" s="28" t="s">
        <v>10</v>
      </c>
      <c r="B5" s="1">
        <v>3</v>
      </c>
      <c r="C5" s="2">
        <v>5</v>
      </c>
      <c r="D5" s="3">
        <v>1</v>
      </c>
      <c r="E5" s="3">
        <v>8</v>
      </c>
      <c r="F5" s="4">
        <f t="shared" si="0"/>
        <v>14</v>
      </c>
      <c r="G5" s="29">
        <f t="shared" si="1"/>
        <v>4.666666666666667</v>
      </c>
    </row>
    <row r="6" spans="1:7" ht="12.5" x14ac:dyDescent="0.25">
      <c r="A6" s="28" t="s">
        <v>11</v>
      </c>
      <c r="B6" s="1">
        <v>5</v>
      </c>
      <c r="C6" s="2">
        <v>8</v>
      </c>
      <c r="D6" s="3">
        <v>3</v>
      </c>
      <c r="E6" s="3">
        <v>5</v>
      </c>
      <c r="F6" s="4">
        <f t="shared" si="0"/>
        <v>16</v>
      </c>
      <c r="G6" s="29">
        <f t="shared" si="1"/>
        <v>3.2</v>
      </c>
    </row>
    <row r="7" spans="1:7" ht="12.5" x14ac:dyDescent="0.25">
      <c r="A7" s="28" t="s">
        <v>12</v>
      </c>
      <c r="B7" s="1">
        <v>5</v>
      </c>
      <c r="C7" s="2">
        <v>5</v>
      </c>
      <c r="D7" s="3">
        <v>5</v>
      </c>
      <c r="E7" s="3">
        <v>5</v>
      </c>
      <c r="F7" s="4">
        <f t="shared" si="0"/>
        <v>15</v>
      </c>
      <c r="G7" s="29">
        <f t="shared" si="1"/>
        <v>3</v>
      </c>
    </row>
    <row r="8" spans="1:7" ht="12.5" x14ac:dyDescent="0.25">
      <c r="A8" s="28" t="s">
        <v>13</v>
      </c>
      <c r="B8" s="1">
        <v>13</v>
      </c>
      <c r="C8" s="2">
        <v>13</v>
      </c>
      <c r="D8" s="3">
        <v>5</v>
      </c>
      <c r="E8" s="3">
        <v>13</v>
      </c>
      <c r="F8" s="4">
        <f t="shared" si="0"/>
        <v>31</v>
      </c>
      <c r="G8" s="29">
        <f t="shared" si="1"/>
        <v>2.3846153846153846</v>
      </c>
    </row>
    <row r="9" spans="1:7" ht="12.5" x14ac:dyDescent="0.25">
      <c r="A9" s="28" t="s">
        <v>14</v>
      </c>
      <c r="B9" s="1">
        <v>8</v>
      </c>
      <c r="C9" s="2">
        <v>8</v>
      </c>
      <c r="D9" s="3">
        <v>8</v>
      </c>
      <c r="E9" s="3">
        <v>3</v>
      </c>
      <c r="F9" s="4">
        <f t="shared" si="0"/>
        <v>19</v>
      </c>
      <c r="G9" s="29">
        <f t="shared" si="1"/>
        <v>2.375</v>
      </c>
    </row>
    <row r="10" spans="1:7" ht="12.5" x14ac:dyDescent="0.25">
      <c r="A10" s="28" t="s">
        <v>15</v>
      </c>
      <c r="B10" s="1">
        <v>5</v>
      </c>
      <c r="C10" s="2">
        <v>1</v>
      </c>
      <c r="D10" s="3">
        <v>3</v>
      </c>
      <c r="E10" s="3">
        <v>5</v>
      </c>
      <c r="F10" s="4">
        <f t="shared" si="0"/>
        <v>9</v>
      </c>
      <c r="G10" s="29">
        <f t="shared" si="1"/>
        <v>1.8</v>
      </c>
    </row>
    <row r="11" spans="1:7" ht="12.5" x14ac:dyDescent="0.25">
      <c r="A11" s="28" t="s">
        <v>16</v>
      </c>
      <c r="B11" s="1">
        <v>8</v>
      </c>
      <c r="C11" s="2">
        <v>13</v>
      </c>
      <c r="D11" s="3">
        <v>0</v>
      </c>
      <c r="E11" s="3">
        <v>1</v>
      </c>
      <c r="F11" s="4">
        <f t="shared" si="0"/>
        <v>14</v>
      </c>
      <c r="G11" s="29">
        <f t="shared" si="1"/>
        <v>1.75</v>
      </c>
    </row>
    <row r="12" spans="1:7" ht="12.5" x14ac:dyDescent="0.25">
      <c r="A12" s="28" t="s">
        <v>17</v>
      </c>
      <c r="B12" s="1">
        <v>13</v>
      </c>
      <c r="C12" s="2">
        <v>13</v>
      </c>
      <c r="D12" s="3">
        <v>1</v>
      </c>
      <c r="E12" s="3">
        <v>8</v>
      </c>
      <c r="F12" s="4">
        <f t="shared" si="0"/>
        <v>22</v>
      </c>
      <c r="G12" s="29">
        <f t="shared" si="1"/>
        <v>1.6923076923076923</v>
      </c>
    </row>
    <row r="13" spans="1:7" ht="12.5" x14ac:dyDescent="0.25">
      <c r="A13" s="28" t="s">
        <v>18</v>
      </c>
      <c r="B13" s="1">
        <v>8</v>
      </c>
      <c r="C13" s="2">
        <v>3</v>
      </c>
      <c r="D13" s="3">
        <v>1</v>
      </c>
      <c r="E13" s="3">
        <v>3</v>
      </c>
      <c r="F13" s="4">
        <f t="shared" si="0"/>
        <v>7</v>
      </c>
      <c r="G13" s="29">
        <f t="shared" si="1"/>
        <v>0.875</v>
      </c>
    </row>
    <row r="14" spans="1:7" ht="13" thickBot="1" x14ac:dyDescent="0.3">
      <c r="A14" s="30" t="s">
        <v>19</v>
      </c>
      <c r="B14" s="31">
        <v>13</v>
      </c>
      <c r="C14" s="32">
        <v>1</v>
      </c>
      <c r="D14" s="33">
        <v>1</v>
      </c>
      <c r="E14" s="33">
        <v>1</v>
      </c>
      <c r="F14" s="34">
        <f t="shared" si="0"/>
        <v>3</v>
      </c>
      <c r="G14" s="35">
        <f t="shared" si="1"/>
        <v>0.23076923076923078</v>
      </c>
    </row>
    <row r="15" spans="1:7" ht="12.5" x14ac:dyDescent="0.25">
      <c r="A15" s="26"/>
      <c r="B15" s="26"/>
      <c r="C15" s="5"/>
      <c r="D15" s="5"/>
      <c r="E15" s="5"/>
      <c r="F15" s="5"/>
    </row>
    <row r="16" spans="1:7" ht="12.5" x14ac:dyDescent="0.25">
      <c r="A16" s="26"/>
      <c r="B16" s="26"/>
      <c r="C16" s="5"/>
      <c r="D16" s="5"/>
      <c r="E16" s="5"/>
      <c r="F16" s="5"/>
    </row>
    <row r="17" spans="1:6" ht="12.5" x14ac:dyDescent="0.25">
      <c r="A17" s="26"/>
      <c r="B17" s="26"/>
      <c r="C17" s="5"/>
      <c r="D17" s="5"/>
      <c r="E17" s="5"/>
      <c r="F17" s="5"/>
    </row>
    <row r="18" spans="1:6" ht="12.5" x14ac:dyDescent="0.25">
      <c r="A18" s="26"/>
      <c r="B18" s="26"/>
      <c r="C18" s="5"/>
      <c r="D18" s="5"/>
      <c r="E18" s="5"/>
      <c r="F18" s="5"/>
    </row>
    <row r="19" spans="1:6" ht="12.5" x14ac:dyDescent="0.25">
      <c r="A19" s="26"/>
      <c r="B19" s="26"/>
      <c r="C19" s="5"/>
      <c r="D19" s="5"/>
      <c r="E19" s="5"/>
      <c r="F19" s="5"/>
    </row>
    <row r="20" spans="1:6" ht="12.5" x14ac:dyDescent="0.25">
      <c r="A20" s="27"/>
      <c r="B20" s="27"/>
      <c r="D20" s="6"/>
    </row>
    <row r="21" spans="1:6" ht="15.75" customHeight="1" x14ac:dyDescent="0.25">
      <c r="A21" s="27"/>
      <c r="B21" s="27"/>
    </row>
  </sheetData>
  <autoFilter ref="A2:G2" xr:uid="{00000000-0001-0000-0000-000000000000}"/>
  <mergeCells count="1">
    <mergeCell ref="A1:G1"/>
  </mergeCells>
  <hyperlinks>
    <hyperlink ref="A1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20"/>
  <sheetViews>
    <sheetView workbookViewId="0">
      <selection activeCell="F10" sqref="F10"/>
    </sheetView>
  </sheetViews>
  <sheetFormatPr baseColWidth="10" defaultColWidth="12.6328125" defaultRowHeight="12.5" x14ac:dyDescent="0.25"/>
  <cols>
    <col min="1" max="1" width="15.26953125" customWidth="1"/>
    <col min="2" max="2" width="17.453125" customWidth="1"/>
    <col min="3" max="3" width="34" customWidth="1"/>
    <col min="4" max="4" width="13" customWidth="1"/>
    <col min="5" max="5" width="16.7265625" customWidth="1"/>
    <col min="6" max="6" width="19.7265625" customWidth="1"/>
    <col min="7" max="7" width="28.26953125" customWidth="1"/>
    <col min="9" max="11" width="15.7265625" customWidth="1"/>
  </cols>
  <sheetData>
    <row r="1" spans="1:18" ht="36" customHeight="1" x14ac:dyDescent="0.25">
      <c r="A1" s="20" t="s">
        <v>20</v>
      </c>
      <c r="B1" s="21"/>
      <c r="C1" s="21"/>
      <c r="D1" s="21"/>
      <c r="E1" s="21"/>
      <c r="F1" s="21"/>
      <c r="G1" s="21"/>
      <c r="H1" s="7"/>
      <c r="I1" s="7"/>
      <c r="J1" s="7"/>
      <c r="K1" s="7"/>
      <c r="L1" s="7"/>
      <c r="M1" s="7"/>
      <c r="N1" s="7"/>
    </row>
    <row r="2" spans="1:18" ht="21.5" customHeight="1" thickBot="1" x14ac:dyDescent="0.4">
      <c r="A2" s="24" t="s">
        <v>21</v>
      </c>
      <c r="B2" s="8"/>
      <c r="E2" s="25" t="s">
        <v>61</v>
      </c>
    </row>
    <row r="3" spans="1:18" ht="14.5" thickBot="1" x14ac:dyDescent="0.3">
      <c r="A3" s="55" t="s">
        <v>22</v>
      </c>
      <c r="B3" s="59" t="s">
        <v>23</v>
      </c>
      <c r="C3" s="50" t="s">
        <v>24</v>
      </c>
      <c r="D3" s="9"/>
      <c r="E3" s="55" t="s">
        <v>3</v>
      </c>
      <c r="F3" s="51" t="s">
        <v>25</v>
      </c>
      <c r="G3" s="49" t="s">
        <v>26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x14ac:dyDescent="0.25">
      <c r="A4" s="56" t="s">
        <v>27</v>
      </c>
      <c r="B4" s="52" t="s">
        <v>28</v>
      </c>
      <c r="C4" s="48" t="s">
        <v>29</v>
      </c>
      <c r="D4" s="9"/>
      <c r="E4" s="56" t="s">
        <v>27</v>
      </c>
      <c r="F4" s="52" t="s">
        <v>30</v>
      </c>
      <c r="G4" s="48" t="s">
        <v>31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x14ac:dyDescent="0.25">
      <c r="A5" s="57">
        <v>5</v>
      </c>
      <c r="B5" s="53" t="s">
        <v>32</v>
      </c>
      <c r="C5" s="11" t="s">
        <v>33</v>
      </c>
      <c r="D5" s="9"/>
      <c r="E5" s="57">
        <v>5</v>
      </c>
      <c r="F5" s="53" t="s">
        <v>34</v>
      </c>
      <c r="G5" s="12" t="s">
        <v>34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x14ac:dyDescent="0.25">
      <c r="A6" s="57">
        <v>8</v>
      </c>
      <c r="B6" s="53" t="s">
        <v>35</v>
      </c>
      <c r="C6" s="11" t="s">
        <v>36</v>
      </c>
      <c r="D6" s="9"/>
      <c r="E6" s="57">
        <v>8</v>
      </c>
      <c r="F6" s="53" t="s">
        <v>37</v>
      </c>
      <c r="G6" s="12" t="s">
        <v>38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x14ac:dyDescent="0.25">
      <c r="A7" s="57">
        <v>13</v>
      </c>
      <c r="B7" s="53" t="s">
        <v>39</v>
      </c>
      <c r="C7" s="11" t="s">
        <v>40</v>
      </c>
      <c r="D7" s="9"/>
      <c r="E7" s="57">
        <v>13</v>
      </c>
      <c r="F7" s="53" t="s">
        <v>41</v>
      </c>
      <c r="G7" s="12" t="s">
        <v>42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x14ac:dyDescent="0.25">
      <c r="A8" s="58">
        <v>20</v>
      </c>
      <c r="B8" s="54" t="s">
        <v>43</v>
      </c>
      <c r="C8" s="13" t="s">
        <v>44</v>
      </c>
      <c r="D8" s="9"/>
      <c r="E8" s="58">
        <v>20</v>
      </c>
      <c r="F8" s="54" t="s">
        <v>45</v>
      </c>
      <c r="G8" s="14" t="s">
        <v>46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11" spans="1:18" ht="22.5" customHeight="1" thickBot="1" x14ac:dyDescent="0.4">
      <c r="A11" s="15" t="s">
        <v>47</v>
      </c>
      <c r="B11" s="16"/>
      <c r="C11" s="16"/>
      <c r="D11" s="8"/>
      <c r="E11" s="15" t="s">
        <v>48</v>
      </c>
      <c r="F11" s="16"/>
      <c r="G11" s="16"/>
      <c r="H11" s="16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ht="28.5" thickBot="1" x14ac:dyDescent="0.35">
      <c r="A12" s="73" t="s">
        <v>49</v>
      </c>
      <c r="B12" s="74" t="s">
        <v>50</v>
      </c>
      <c r="C12" s="70" t="s">
        <v>51</v>
      </c>
      <c r="D12" s="17"/>
      <c r="E12" s="68" t="s">
        <v>52</v>
      </c>
      <c r="F12" s="69" t="s">
        <v>53</v>
      </c>
      <c r="G12" s="70" t="s">
        <v>51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x14ac:dyDescent="0.25">
      <c r="A13" s="67" t="s">
        <v>27</v>
      </c>
      <c r="B13" s="66" t="s">
        <v>54</v>
      </c>
      <c r="C13" s="65" t="s">
        <v>55</v>
      </c>
      <c r="E13" s="67" t="s">
        <v>27</v>
      </c>
      <c r="F13" s="64" t="s">
        <v>31</v>
      </c>
      <c r="G13" s="65" t="s">
        <v>56</v>
      </c>
    </row>
    <row r="14" spans="1:18" x14ac:dyDescent="0.25">
      <c r="A14" s="57">
        <v>5</v>
      </c>
      <c r="B14" s="60" t="s">
        <v>34</v>
      </c>
      <c r="C14" s="22"/>
      <c r="E14" s="71">
        <v>5</v>
      </c>
      <c r="F14" s="62" t="s">
        <v>34</v>
      </c>
      <c r="G14" s="22"/>
    </row>
    <row r="15" spans="1:18" x14ac:dyDescent="0.25">
      <c r="A15" s="57">
        <v>8</v>
      </c>
      <c r="B15" s="60" t="s">
        <v>37</v>
      </c>
      <c r="C15" s="22"/>
      <c r="E15" s="71">
        <v>8</v>
      </c>
      <c r="F15" s="62" t="s">
        <v>38</v>
      </c>
      <c r="G15" s="22"/>
    </row>
    <row r="16" spans="1:18" x14ac:dyDescent="0.25">
      <c r="A16" s="57">
        <v>13</v>
      </c>
      <c r="B16" s="60" t="s">
        <v>57</v>
      </c>
      <c r="C16" s="22"/>
      <c r="E16" s="71">
        <v>13</v>
      </c>
      <c r="F16" s="62" t="s">
        <v>58</v>
      </c>
      <c r="G16" s="22"/>
    </row>
    <row r="17" spans="1:7" ht="13" thickBot="1" x14ac:dyDescent="0.3">
      <c r="A17" s="58">
        <v>20</v>
      </c>
      <c r="B17" s="61" t="s">
        <v>59</v>
      </c>
      <c r="C17" s="23"/>
      <c r="E17" s="72">
        <v>20</v>
      </c>
      <c r="F17" s="63" t="s">
        <v>60</v>
      </c>
      <c r="G17" s="23"/>
    </row>
    <row r="18" spans="1:7" x14ac:dyDescent="0.25">
      <c r="A18" s="18"/>
    </row>
    <row r="19" spans="1:7" x14ac:dyDescent="0.25">
      <c r="A19" s="18"/>
      <c r="E19" s="19"/>
      <c r="F19" s="19"/>
      <c r="G19" s="19"/>
    </row>
    <row r="20" spans="1:7" x14ac:dyDescent="0.25">
      <c r="E20" s="19"/>
      <c r="F20" s="19"/>
      <c r="G20" s="19"/>
    </row>
  </sheetData>
  <mergeCells count="3">
    <mergeCell ref="A1:G1"/>
    <mergeCell ref="C13:C17"/>
    <mergeCell ref="G13:G17"/>
  </mergeCells>
  <hyperlinks>
    <hyperlink ref="A1" r:id="rId1" xr:uid="{00000000-0004-0000-0100-00000000000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F0D6-2A12-4DC7-B3B7-DA76DAB4409D}">
  <dimension ref="A1:G14"/>
  <sheetViews>
    <sheetView workbookViewId="0">
      <selection activeCell="D18" sqref="D18"/>
    </sheetView>
  </sheetViews>
  <sheetFormatPr baseColWidth="10" defaultRowHeight="12.5" x14ac:dyDescent="0.25"/>
  <cols>
    <col min="1" max="1" width="22.6328125" customWidth="1"/>
    <col min="2" max="2" width="13.90625" customWidth="1"/>
    <col min="3" max="3" width="15.08984375" customWidth="1"/>
    <col min="4" max="4" width="17.08984375" customWidth="1"/>
    <col min="5" max="5" width="23.90625" customWidth="1"/>
    <col min="6" max="6" width="20.81640625" customWidth="1"/>
    <col min="7" max="7" width="24.54296875" customWidth="1"/>
  </cols>
  <sheetData>
    <row r="1" spans="1:7" ht="26.5" customHeight="1" thickBot="1" x14ac:dyDescent="0.3">
      <c r="A1" s="20" t="s">
        <v>0</v>
      </c>
      <c r="B1" s="21"/>
      <c r="C1" s="21"/>
      <c r="D1" s="21"/>
      <c r="E1" s="21"/>
      <c r="F1" s="21"/>
      <c r="G1" s="21"/>
    </row>
    <row r="2" spans="1:7" ht="29.5" thickBot="1" x14ac:dyDescent="0.4">
      <c r="A2" s="42" t="s">
        <v>1</v>
      </c>
      <c r="B2" s="43" t="s">
        <v>2</v>
      </c>
      <c r="C2" s="44" t="s">
        <v>3</v>
      </c>
      <c r="D2" s="45" t="s">
        <v>4</v>
      </c>
      <c r="E2" s="45" t="s">
        <v>5</v>
      </c>
      <c r="F2" s="46" t="s">
        <v>6</v>
      </c>
      <c r="G2" s="47" t="s">
        <v>7</v>
      </c>
    </row>
    <row r="3" spans="1:7" x14ac:dyDescent="0.25">
      <c r="A3" s="36"/>
      <c r="B3" s="37"/>
      <c r="C3" s="38"/>
      <c r="D3" s="39"/>
      <c r="E3" s="39"/>
      <c r="F3" s="40">
        <f>+SUM(C3:E3)</f>
        <v>0</v>
      </c>
      <c r="G3" s="41" t="e">
        <f>F3/B3</f>
        <v>#DIV/0!</v>
      </c>
    </row>
    <row r="4" spans="1:7" x14ac:dyDescent="0.25">
      <c r="A4" s="28"/>
      <c r="B4" s="1"/>
      <c r="C4" s="2"/>
      <c r="D4" s="3"/>
      <c r="E4" s="3"/>
      <c r="F4" s="4">
        <f t="shared" ref="F4:F14" si="0">+SUM(C4:E4)</f>
        <v>0</v>
      </c>
      <c r="G4" s="29" t="e">
        <f t="shared" ref="G4:G14" si="1">F4/B4</f>
        <v>#DIV/0!</v>
      </c>
    </row>
    <row r="5" spans="1:7" x14ac:dyDescent="0.25">
      <c r="A5" s="28"/>
      <c r="B5" s="1"/>
      <c r="C5" s="2"/>
      <c r="D5" s="3"/>
      <c r="E5" s="3"/>
      <c r="F5" s="4">
        <f t="shared" si="0"/>
        <v>0</v>
      </c>
      <c r="G5" s="29" t="e">
        <f t="shared" si="1"/>
        <v>#DIV/0!</v>
      </c>
    </row>
    <row r="6" spans="1:7" x14ac:dyDescent="0.25">
      <c r="A6" s="28"/>
      <c r="B6" s="1"/>
      <c r="C6" s="2"/>
      <c r="D6" s="3"/>
      <c r="E6" s="3"/>
      <c r="F6" s="4">
        <f t="shared" si="0"/>
        <v>0</v>
      </c>
      <c r="G6" s="29" t="e">
        <f t="shared" si="1"/>
        <v>#DIV/0!</v>
      </c>
    </row>
    <row r="7" spans="1:7" x14ac:dyDescent="0.25">
      <c r="A7" s="28"/>
      <c r="B7" s="1"/>
      <c r="C7" s="2"/>
      <c r="D7" s="3"/>
      <c r="E7" s="3"/>
      <c r="F7" s="4">
        <f t="shared" si="0"/>
        <v>0</v>
      </c>
      <c r="G7" s="29" t="e">
        <f t="shared" si="1"/>
        <v>#DIV/0!</v>
      </c>
    </row>
    <row r="8" spans="1:7" x14ac:dyDescent="0.25">
      <c r="A8" s="28"/>
      <c r="B8" s="1"/>
      <c r="C8" s="2"/>
      <c r="D8" s="3"/>
      <c r="E8" s="3"/>
      <c r="F8" s="4">
        <f t="shared" si="0"/>
        <v>0</v>
      </c>
      <c r="G8" s="29" t="e">
        <f t="shared" si="1"/>
        <v>#DIV/0!</v>
      </c>
    </row>
    <row r="9" spans="1:7" x14ac:dyDescent="0.25">
      <c r="A9" s="28"/>
      <c r="B9" s="1"/>
      <c r="C9" s="2"/>
      <c r="D9" s="3"/>
      <c r="E9" s="3"/>
      <c r="F9" s="4">
        <f t="shared" si="0"/>
        <v>0</v>
      </c>
      <c r="G9" s="29" t="e">
        <f t="shared" si="1"/>
        <v>#DIV/0!</v>
      </c>
    </row>
    <row r="10" spans="1:7" x14ac:dyDescent="0.25">
      <c r="A10" s="28"/>
      <c r="B10" s="1"/>
      <c r="C10" s="2"/>
      <c r="D10" s="3"/>
      <c r="E10" s="3"/>
      <c r="F10" s="4">
        <f t="shared" si="0"/>
        <v>0</v>
      </c>
      <c r="G10" s="29" t="e">
        <f t="shared" si="1"/>
        <v>#DIV/0!</v>
      </c>
    </row>
    <row r="11" spans="1:7" x14ac:dyDescent="0.25">
      <c r="A11" s="28"/>
      <c r="B11" s="1"/>
      <c r="C11" s="2"/>
      <c r="D11" s="3"/>
      <c r="E11" s="3"/>
      <c r="F11" s="4">
        <f t="shared" si="0"/>
        <v>0</v>
      </c>
      <c r="G11" s="29" t="e">
        <f t="shared" si="1"/>
        <v>#DIV/0!</v>
      </c>
    </row>
    <row r="12" spans="1:7" x14ac:dyDescent="0.25">
      <c r="A12" s="28"/>
      <c r="B12" s="1"/>
      <c r="C12" s="2"/>
      <c r="D12" s="3"/>
      <c r="E12" s="3"/>
      <c r="F12" s="4">
        <f t="shared" si="0"/>
        <v>0</v>
      </c>
      <c r="G12" s="29" t="e">
        <f t="shared" si="1"/>
        <v>#DIV/0!</v>
      </c>
    </row>
    <row r="13" spans="1:7" x14ac:dyDescent="0.25">
      <c r="A13" s="28"/>
      <c r="B13" s="1"/>
      <c r="C13" s="2"/>
      <c r="D13" s="3"/>
      <c r="E13" s="3"/>
      <c r="F13" s="4">
        <f t="shared" si="0"/>
        <v>0</v>
      </c>
      <c r="G13" s="29" t="e">
        <f t="shared" si="1"/>
        <v>#DIV/0!</v>
      </c>
    </row>
    <row r="14" spans="1:7" ht="13" thickBot="1" x14ac:dyDescent="0.3">
      <c r="A14" s="30"/>
      <c r="B14" s="31"/>
      <c r="C14" s="32"/>
      <c r="D14" s="33"/>
      <c r="E14" s="33"/>
      <c r="F14" s="4">
        <f t="shared" si="0"/>
        <v>0</v>
      </c>
      <c r="G14" s="29" t="e">
        <f t="shared" si="1"/>
        <v>#DIV/0!</v>
      </c>
    </row>
  </sheetData>
  <mergeCells count="1">
    <mergeCell ref="A1:G1"/>
  </mergeCells>
  <hyperlinks>
    <hyperlink ref="A1" r:id="rId1" xr:uid="{07B9A94B-8134-406B-95A6-43EB133E98C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1. Calcul WSJF (Exemple)</vt:lpstr>
      <vt:lpstr>2. Explication sur les colonnes</vt:lpstr>
      <vt:lpstr>3. Calcul WSJF (Feuille vide)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SALEM Ahmed Ext DTSI/PFC</cp:lastModifiedBy>
  <dcterms:modified xsi:type="dcterms:W3CDTF">2022-04-06T08:46:00Z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222825-62ea-40f3-96b5-5375c07996e2_Enabled">
    <vt:lpwstr>true</vt:lpwstr>
  </property>
  <property fmtid="{D5CDD505-2E9C-101B-9397-08002B2CF9AE}" pid="3" name="MSIP_Label_07222825-62ea-40f3-96b5-5375c07996e2_SetDate">
    <vt:lpwstr>2022-04-06T08:45:42Z</vt:lpwstr>
  </property>
  <property fmtid="{D5CDD505-2E9C-101B-9397-08002B2CF9AE}" pid="4" name="MSIP_Label_07222825-62ea-40f3-96b5-5375c07996e2_Method">
    <vt:lpwstr>Privileged</vt:lpwstr>
  </property>
  <property fmtid="{D5CDD505-2E9C-101B-9397-08002B2CF9AE}" pid="5" name="MSIP_Label_07222825-62ea-40f3-96b5-5375c07996e2_Name">
    <vt:lpwstr>unrestricted_parent.2</vt:lpwstr>
  </property>
  <property fmtid="{D5CDD505-2E9C-101B-9397-08002B2CF9AE}" pid="6" name="MSIP_Label_07222825-62ea-40f3-96b5-5375c07996e2_SiteId">
    <vt:lpwstr>90c7a20a-f34b-40bf-bc48-b9253b6f5d20</vt:lpwstr>
  </property>
  <property fmtid="{D5CDD505-2E9C-101B-9397-08002B2CF9AE}" pid="7" name="MSIP_Label_07222825-62ea-40f3-96b5-5375c07996e2_ActionId">
    <vt:lpwstr>dce0c905-3b48-4bae-8a89-c7c76065bc8b</vt:lpwstr>
  </property>
  <property fmtid="{D5CDD505-2E9C-101B-9397-08002B2CF9AE}" pid="8" name="MSIP_Label_07222825-62ea-40f3-96b5-5375c07996e2_ContentBits">
    <vt:lpwstr>0</vt:lpwstr>
  </property>
</Properties>
</file>